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ordWes Universiteit\Mechatronics Engineering\Jaar 3\Semester 2\MCTR327\Eng_DesignProject_GantryCrane_Group-18\Specifications\"/>
    </mc:Choice>
  </mc:AlternateContent>
  <xr:revisionPtr revIDLastSave="0" documentId="13_ncr:1_{A5CC94B6-92C0-4187-BF3F-C5D59B8E1B98}" xr6:coauthVersionLast="47" xr6:coauthVersionMax="47" xr10:uidLastSave="{00000000-0000-0000-0000-000000000000}"/>
  <bookViews>
    <workbookView xWindow="28680" yWindow="-120" windowWidth="29040" windowHeight="15720" xr2:uid="{4CE4302D-EC5D-4A58-A53C-426CE452E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7" i="1" l="1"/>
  <c r="N27" i="1"/>
  <c r="O27" i="1"/>
  <c r="P27" i="1"/>
  <c r="Q27" i="1"/>
  <c r="M28" i="1"/>
  <c r="N28" i="1"/>
  <c r="O28" i="1"/>
  <c r="P28" i="1"/>
  <c r="Q28" i="1"/>
  <c r="M29" i="1"/>
  <c r="N29" i="1"/>
  <c r="O29" i="1"/>
  <c r="P29" i="1"/>
  <c r="Q29" i="1"/>
  <c r="M30" i="1"/>
  <c r="N30" i="1"/>
  <c r="O30" i="1"/>
  <c r="P30" i="1"/>
  <c r="Q30" i="1"/>
  <c r="M31" i="1"/>
  <c r="N31" i="1"/>
  <c r="O31" i="1"/>
  <c r="P31" i="1"/>
  <c r="Q31" i="1"/>
  <c r="M32" i="1"/>
  <c r="N32" i="1"/>
  <c r="O32" i="1"/>
  <c r="P32" i="1"/>
  <c r="Q32" i="1"/>
  <c r="M33" i="1"/>
  <c r="N33" i="1"/>
  <c r="O33" i="1"/>
  <c r="P33" i="1"/>
  <c r="Q33" i="1"/>
  <c r="M34" i="1"/>
  <c r="N34" i="1"/>
  <c r="O34" i="1"/>
  <c r="P34" i="1"/>
  <c r="Q34" i="1"/>
  <c r="M35" i="1"/>
  <c r="N35" i="1"/>
  <c r="O35" i="1"/>
  <c r="P35" i="1"/>
  <c r="Q35" i="1"/>
  <c r="N6" i="1"/>
  <c r="N7" i="1"/>
  <c r="N8" i="1"/>
  <c r="N9" i="1"/>
  <c r="N10" i="1"/>
  <c r="N11" i="1"/>
  <c r="N12" i="1"/>
  <c r="N13" i="1"/>
  <c r="N5" i="1"/>
  <c r="O5" i="1"/>
  <c r="M5" i="1"/>
  <c r="Q6" i="1"/>
  <c r="Q7" i="1"/>
  <c r="Q8" i="1"/>
  <c r="Q9" i="1"/>
  <c r="Q10" i="1"/>
  <c r="Q11" i="1"/>
  <c r="Q12" i="1"/>
  <c r="Q13" i="1"/>
  <c r="P6" i="1"/>
  <c r="P7" i="1"/>
  <c r="P8" i="1"/>
  <c r="P9" i="1"/>
  <c r="P10" i="1"/>
  <c r="P11" i="1"/>
  <c r="P12" i="1"/>
  <c r="P13" i="1"/>
  <c r="O6" i="1"/>
  <c r="O7" i="1"/>
  <c r="O8" i="1"/>
  <c r="O9" i="1"/>
  <c r="O10" i="1"/>
  <c r="O11" i="1"/>
  <c r="O12" i="1"/>
  <c r="O13" i="1"/>
  <c r="M6" i="1"/>
  <c r="M7" i="1"/>
  <c r="M8" i="1"/>
  <c r="M9" i="1"/>
  <c r="M10" i="1"/>
  <c r="M11" i="1"/>
  <c r="M12" i="1"/>
  <c r="M13" i="1"/>
  <c r="Q5" i="1"/>
  <c r="P5" i="1"/>
</calcChain>
</file>

<file path=xl/sharedStrings.xml><?xml version="1.0" encoding="utf-8"?>
<sst xmlns="http://schemas.openxmlformats.org/spreadsheetml/2006/main" count="86" uniqueCount="53">
  <si>
    <t>Risk Codes</t>
  </si>
  <si>
    <t>S1</t>
  </si>
  <si>
    <t>S2</t>
  </si>
  <si>
    <t>L1</t>
  </si>
  <si>
    <t>K1</t>
  </si>
  <si>
    <t>K2</t>
  </si>
  <si>
    <t>Score legend:</t>
  </si>
  <si>
    <t>1 – 4   Low risk</t>
  </si>
  <si>
    <t>5 – 9   Moderate risk</t>
  </si>
  <si>
    <t>10 – 14  High risk</t>
  </si>
  <si>
    <t>≥ 15   Critical risk</t>
  </si>
  <si>
    <t>Instructions: Fill in Likelihood (1–5) and Impact (1–5) values in the light-blue cells. Leave cells blank if that risk category does not apply to the risk code. Score = Likelihood × Impact and is coloured automatically.</t>
  </si>
  <si>
    <t>Knowledge Risk
Score</t>
  </si>
  <si>
    <t>Logistic Risk
Score</t>
  </si>
  <si>
    <t>Schedule Risk
Score</t>
  </si>
  <si>
    <t>Knowledge Risk
Impact</t>
  </si>
  <si>
    <t>Knowledge Risk
Likelihood</t>
  </si>
  <si>
    <t>Schedule Risk
Impact</t>
  </si>
  <si>
    <t>Schedule Risk
Likelihood</t>
  </si>
  <si>
    <t>≥ 15     Critical risk</t>
  </si>
  <si>
    <t>5 – 9    Moderate risk</t>
  </si>
  <si>
    <t>1 – 4    Low risk</t>
  </si>
  <si>
    <t>Score colour scale:</t>
  </si>
  <si>
    <t>To embed this table in your LaTeX report: install the Excel2LaTeX add-in, select the table range, and click Convert to LaTeX. Paste the output into content/B_risk_register.tex.</t>
  </si>
  <si>
    <t>Excel2LaTeX export</t>
  </si>
  <si>
    <t>Click the last data row, copy it (Ctrl+C), then paste below. All formulas and formatting will be replicated. Update the Risk Code in column A.</t>
  </si>
  <si>
    <t>Adding rows</t>
  </si>
  <si>
    <t>Fill in BEFORE Mitigation first. After defining mitigations, copy the risk codes to AFTER Mitigation and enter the revised likelihood and impact values to show the improvement.</t>
  </si>
  <si>
    <t>BEFORE / AFTER sheets</t>
  </si>
  <si>
    <t>Leave a cell blank if that risk category does not apply to that risk code. The score cell will remain empty automatically.</t>
  </si>
  <si>
    <t>Blank cells</t>
  </si>
  <si>
    <t>Calculated automatically as Likelihood × Impact. The cell colour updates via conditional formatting:
  Green (1–4): Low    Yellow (5–9): Moderate    Orange (10–14): High    Red (≥15): Critical</t>
  </si>
  <si>
    <t>Score (auto)</t>
  </si>
  <si>
    <t>Rate the consequence if the risk materialises:
  1 = Negligible   2 = Minor   3 = Moderate   4 = Major   5 = Severe</t>
  </si>
  <si>
    <t>Impact (1–5)</t>
  </si>
  <si>
    <t>Rate how likely the risk is to occur:
  1 = Very Low   2 = Low   3 = Medium   4 = High   5 = Very High</t>
  </si>
  <si>
    <t>Likelihood (1–5)</t>
  </si>
  <si>
    <t>Enter a unique identifier for each risk (e.g. S1, S2 for Schedule risks; L1 for Logistic; T1, T2 for Technical; K1, K2 for Knowledge). Add rows by copying a data row down.</t>
  </si>
  <si>
    <t>NWU Risk Traceability Matrix – How to Use</t>
  </si>
  <si>
    <t>Group Risk Impact</t>
  </si>
  <si>
    <t>Group Risk Likelihood</t>
  </si>
  <si>
    <t>G1</t>
  </si>
  <si>
    <t>G2</t>
  </si>
  <si>
    <t>L2</t>
  </si>
  <si>
    <t>P1</t>
  </si>
  <si>
    <t>Logistical Risk
Likelihood</t>
  </si>
  <si>
    <t>Logistical Risk
Impact</t>
  </si>
  <si>
    <t>Group Risk Score</t>
  </si>
  <si>
    <t>Integration Risk Score</t>
  </si>
  <si>
    <t>Integration Risk
Likelihood</t>
  </si>
  <si>
    <t>Integration Risk
Impact</t>
  </si>
  <si>
    <t xml:space="preserve">  Risk Traceability Matrix AFTER Mitigation</t>
  </si>
  <si>
    <t xml:space="preserve">  Risk Traceability Matrix BEFORE Mitigation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</si>
</sst>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i/>
      <sz val="8"/>
      <color rgb="FF595959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9"/>
      <color rgb="FFFFFFFF"/>
      <name val="Arial"/>
      <charset val="1"/>
    </font>
    <font>
      <b/>
      <sz val="8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8C00"/>
        <bgColor rgb="FFFF6600"/>
      </patternFill>
    </fill>
    <fill>
      <patternFill patternType="solid">
        <fgColor rgb="FFFFD7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FFFFFF"/>
        <bgColor rgb="FFF2F2F2"/>
      </patternFill>
    </fill>
    <fill>
      <patternFill patternType="solid">
        <fgColor rgb="FFDCE6F1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DCE6F1"/>
      </patternFill>
    </fill>
    <fill>
      <patternFill patternType="solid">
        <fgColor rgb="FF4472C4"/>
        <bgColor rgb="FF0066CC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0" borderId="0" xfId="0" applyFont="1"/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textRotation="90" wrapText="1"/>
    </xf>
    <xf numFmtId="0" fontId="5" fillId="9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vertical="top" wrapText="1"/>
    </xf>
    <xf numFmtId="0" fontId="6" fillId="10" borderId="0" xfId="0" applyFont="1" applyFill="1" applyAlignment="1">
      <alignment horizontal="center" vertical="center"/>
    </xf>
    <xf numFmtId="0" fontId="1" fillId="0" borderId="0" xfId="0" applyFont="1" applyAlignment="1">
      <alignment vertical="top" wrapText="1"/>
    </xf>
    <xf numFmtId="0" fontId="11" fillId="10" borderId="0" xfId="0" applyFont="1" applyFill="1" applyAlignment="1">
      <alignment horizontal="left" vertical="center" indent="1"/>
    </xf>
    <xf numFmtId="0" fontId="6" fillId="10" borderId="2" xfId="0" applyFont="1" applyFill="1" applyBorder="1" applyAlignment="1">
      <alignment horizontal="center" vertical="center"/>
    </xf>
    <xf numFmtId="0" fontId="0" fillId="4" borderId="3" xfId="0" applyFill="1" applyBorder="1"/>
    <xf numFmtId="0" fontId="0" fillId="3" borderId="3" xfId="0" applyFill="1" applyBorder="1"/>
    <xf numFmtId="0" fontId="0" fillId="2" borderId="4" xfId="0" applyFill="1" applyBorder="1"/>
    <xf numFmtId="0" fontId="0" fillId="0" borderId="1" xfId="0" applyBorder="1" applyAlignment="1">
      <alignment horizontal="centerContinuous"/>
    </xf>
    <xf numFmtId="0" fontId="2" fillId="0" borderId="1" xfId="0" applyFont="1" applyBorder="1" applyAlignment="1">
      <alignment horizontal="centerContinuous" vertical="center"/>
    </xf>
    <xf numFmtId="0" fontId="0" fillId="0" borderId="6" xfId="0" applyBorder="1" applyAlignment="1">
      <alignment horizontal="centerContinuous"/>
    </xf>
    <xf numFmtId="0" fontId="2" fillId="0" borderId="7" xfId="0" applyFont="1" applyBorder="1" applyAlignment="1">
      <alignment horizontal="centerContinuous" vertical="center"/>
    </xf>
    <xf numFmtId="0" fontId="0" fillId="0" borderId="7" xfId="0" applyBorder="1" applyAlignment="1">
      <alignment horizontal="centerContinuous"/>
    </xf>
    <xf numFmtId="0" fontId="0" fillId="0" borderId="8" xfId="0" applyBorder="1" applyAlignment="1">
      <alignment horizontal="centerContinuous"/>
    </xf>
    <xf numFmtId="0" fontId="2" fillId="0" borderId="10" xfId="0" applyFont="1" applyBorder="1" applyAlignment="1">
      <alignment horizontal="centerContinuous"/>
    </xf>
    <xf numFmtId="0" fontId="0" fillId="0" borderId="9" xfId="0" applyBorder="1" applyAlignment="1">
      <alignment horizontal="centerContinuous"/>
    </xf>
    <xf numFmtId="0" fontId="3" fillId="0" borderId="11" xfId="0" applyFont="1" applyBorder="1" applyAlignment="1">
      <alignment horizontal="centerContinuous"/>
    </xf>
    <xf numFmtId="0" fontId="0" fillId="5" borderId="5" xfId="0" applyFill="1" applyBorder="1"/>
    <xf numFmtId="0" fontId="0" fillId="0" borderId="10" xfId="0" applyBorder="1" applyAlignment="1">
      <alignment horizontal="centerContinuous"/>
    </xf>
    <xf numFmtId="0" fontId="0" fillId="0" borderId="13" xfId="0" applyBorder="1" applyAlignment="1">
      <alignment horizontal="centerContinuous"/>
    </xf>
    <xf numFmtId="0" fontId="0" fillId="0" borderId="12" xfId="0" applyBorder="1" applyAlignment="1">
      <alignment horizontal="centerContinuous"/>
    </xf>
  </cellXfs>
  <cellStyles count="1">
    <cellStyle name="Normal" xfId="0" builtinId="0"/>
  </cellStyles>
  <dxfs count="28">
    <dxf>
      <font>
        <b/>
        <color rgb="FFFFFFFF"/>
      </font>
      <fill>
        <patternFill>
          <bgColor rgb="FF00B050"/>
        </patternFill>
      </fill>
    </dxf>
    <dxf>
      <font>
        <b/>
        <color rgb="FF000000"/>
      </font>
      <fill>
        <patternFill>
          <bgColor rgb="FFFFD700"/>
        </patternFill>
      </fill>
    </dxf>
    <dxf>
      <font>
        <b/>
        <color rgb="FFFFFFFF"/>
      </font>
      <fill>
        <patternFill>
          <bgColor rgb="FFFF8C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00B050"/>
        </patternFill>
      </fill>
    </dxf>
    <dxf>
      <font>
        <b/>
        <color rgb="FF000000"/>
      </font>
      <fill>
        <patternFill>
          <bgColor rgb="FFFFD700"/>
        </patternFill>
      </fill>
    </dxf>
    <dxf>
      <font>
        <b/>
        <color rgb="FFFFFFFF"/>
      </font>
      <fill>
        <patternFill>
          <bgColor rgb="FFFF8C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00B050"/>
        </patternFill>
      </fill>
    </dxf>
    <dxf>
      <font>
        <b/>
        <color rgb="FF000000"/>
      </font>
      <fill>
        <patternFill>
          <bgColor rgb="FFFFD700"/>
        </patternFill>
      </fill>
    </dxf>
    <dxf>
      <font>
        <b/>
        <color rgb="FFFFFFFF"/>
      </font>
      <fill>
        <patternFill>
          <bgColor rgb="FFFF8C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00B050"/>
        </patternFill>
      </fill>
    </dxf>
    <dxf>
      <font>
        <b/>
        <color rgb="FF000000"/>
      </font>
      <fill>
        <patternFill>
          <bgColor rgb="FFFFD700"/>
        </patternFill>
      </fill>
    </dxf>
    <dxf>
      <font>
        <b/>
        <color rgb="FFFFFFFF"/>
      </font>
      <fill>
        <patternFill>
          <bgColor rgb="FFFF8C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00B050"/>
        </patternFill>
      </fill>
    </dxf>
    <dxf>
      <font>
        <b/>
        <color rgb="FF000000"/>
      </font>
      <fill>
        <patternFill>
          <bgColor rgb="FFFFD700"/>
        </patternFill>
      </fill>
    </dxf>
    <dxf>
      <font>
        <b/>
        <color rgb="FFFFFFFF"/>
      </font>
      <fill>
        <patternFill>
          <bgColor rgb="FFFF8C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00B050"/>
        </patternFill>
      </fill>
    </dxf>
    <dxf>
      <font>
        <b/>
        <color rgb="FF000000"/>
      </font>
      <fill>
        <patternFill>
          <bgColor rgb="FFFFD700"/>
        </patternFill>
      </fill>
    </dxf>
    <dxf>
      <font>
        <b/>
        <color rgb="FFFFFFFF"/>
      </font>
      <fill>
        <patternFill>
          <bgColor rgb="FFFF8C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00B050"/>
        </patternFill>
      </fill>
    </dxf>
    <dxf>
      <font>
        <b/>
        <color rgb="FF000000"/>
      </font>
      <fill>
        <patternFill>
          <bgColor rgb="FFFFD700"/>
        </patternFill>
      </fill>
    </dxf>
    <dxf>
      <font>
        <b/>
        <color rgb="FFFFFFFF"/>
      </font>
      <fill>
        <patternFill>
          <bgColor rgb="FFFF8C00"/>
        </patternFill>
      </fill>
    </dxf>
    <dxf>
      <font>
        <b/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25</xdr:row>
      <xdr:rowOff>0</xdr:rowOff>
    </xdr:from>
    <xdr:to>
      <xdr:col>29</xdr:col>
      <xdr:colOff>281940</xdr:colOff>
      <xdr:row>36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84F693-854F-D72A-8186-80303D49C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6740" y="5394960"/>
          <a:ext cx="5775960" cy="267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419100</xdr:colOff>
      <xdr:row>1</xdr:row>
      <xdr:rowOff>169545</xdr:rowOff>
    </xdr:from>
    <xdr:to>
      <xdr:col>28</xdr:col>
      <xdr:colOff>91440</xdr:colOff>
      <xdr:row>13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DD82359-7F88-EB52-8C83-6C4F2720D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350520"/>
          <a:ext cx="5768340" cy="2830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93345</xdr:colOff>
      <xdr:row>3</xdr:row>
      <xdr:rowOff>106680</xdr:rowOff>
    </xdr:from>
    <xdr:to>
      <xdr:col>32</xdr:col>
      <xdr:colOff>234315</xdr:colOff>
      <xdr:row>4</xdr:row>
      <xdr:rowOff>30480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D769C49-B3D0-70EA-50BF-498CA0B3D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0295" y="649605"/>
          <a:ext cx="196977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E8F47-BC4B-4B60-A383-ABA60BBBE1EE}">
  <dimension ref="B3:V60"/>
  <sheetViews>
    <sheetView tabSelected="1" workbookViewId="0">
      <selection activeCell="AG9" sqref="AG9"/>
    </sheetView>
  </sheetViews>
  <sheetFormatPr defaultRowHeight="14.4" x14ac:dyDescent="0.3"/>
  <cols>
    <col min="3" max="3" width="4.77734375" customWidth="1"/>
    <col min="4" max="6" width="5" customWidth="1"/>
    <col min="7" max="7" width="5.44140625" customWidth="1"/>
    <col min="8" max="8" width="4.88671875" customWidth="1"/>
    <col min="9" max="10" width="4.5546875" customWidth="1"/>
    <col min="11" max="11" width="4.6640625" customWidth="1"/>
    <col min="12" max="12" width="5.6640625" customWidth="1"/>
    <col min="13" max="14" width="5" customWidth="1"/>
    <col min="15" max="15" width="4.33203125" customWidth="1"/>
    <col min="16" max="16" width="5.109375" customWidth="1"/>
    <col min="17" max="17" width="6.21875" customWidth="1"/>
  </cols>
  <sheetData>
    <row r="3" spans="2:17" x14ac:dyDescent="0.3">
      <c r="B3" s="20" t="s">
        <v>52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2:17" ht="79.2" customHeight="1" x14ac:dyDescent="0.3">
      <c r="B4" s="13" t="s">
        <v>0</v>
      </c>
      <c r="C4" s="12" t="s">
        <v>18</v>
      </c>
      <c r="D4" s="12" t="s">
        <v>17</v>
      </c>
      <c r="E4" s="12" t="s">
        <v>39</v>
      </c>
      <c r="F4" s="12" t="s">
        <v>40</v>
      </c>
      <c r="G4" s="12" t="s">
        <v>16</v>
      </c>
      <c r="H4" s="12" t="s">
        <v>15</v>
      </c>
      <c r="I4" s="12" t="s">
        <v>49</v>
      </c>
      <c r="J4" s="12" t="s">
        <v>50</v>
      </c>
      <c r="K4" s="12" t="s">
        <v>45</v>
      </c>
      <c r="L4" s="12" t="s">
        <v>46</v>
      </c>
      <c r="M4" s="12" t="s">
        <v>14</v>
      </c>
      <c r="N4" s="12" t="s">
        <v>47</v>
      </c>
      <c r="O4" s="12" t="s">
        <v>12</v>
      </c>
      <c r="P4" s="12" t="s">
        <v>48</v>
      </c>
      <c r="Q4" s="12" t="s">
        <v>13</v>
      </c>
    </row>
    <row r="5" spans="2:17" x14ac:dyDescent="0.3">
      <c r="B5" s="10" t="s">
        <v>1</v>
      </c>
      <c r="C5" s="8">
        <v>5</v>
      </c>
      <c r="D5" s="8">
        <v>4</v>
      </c>
      <c r="E5" s="9"/>
      <c r="F5" s="9"/>
      <c r="G5" s="9"/>
      <c r="H5" s="9"/>
      <c r="I5" s="9"/>
      <c r="J5" s="9"/>
      <c r="K5" s="9"/>
      <c r="L5" s="9"/>
      <c r="M5" s="11">
        <f>IF(AND(C5&lt;&gt;"",D5&lt;&gt;""),C5*D5,"")</f>
        <v>20</v>
      </c>
      <c r="N5" s="11" t="str">
        <f>IF(AND(E5&lt;&gt;"",F5&lt;&gt;""),E5*F5,"")</f>
        <v/>
      </c>
      <c r="O5" s="7" t="str">
        <f>IF(AND(G5&lt;&gt;"",H5&lt;&gt;""),G5*H5,"")</f>
        <v/>
      </c>
      <c r="P5" s="7" t="str">
        <f>IF(AND(I5&lt;&gt;"",J5&lt;&gt;""),I5*J5,"")</f>
        <v/>
      </c>
      <c r="Q5" s="7" t="str">
        <f>IF(AND(K5&lt;&gt;"",L5&lt;&gt;""),K5*L5,"")</f>
        <v/>
      </c>
    </row>
    <row r="6" spans="2:17" x14ac:dyDescent="0.3">
      <c r="B6" s="10" t="s">
        <v>2</v>
      </c>
      <c r="C6" s="8">
        <v>4</v>
      </c>
      <c r="D6" s="8">
        <v>4</v>
      </c>
      <c r="E6" s="9"/>
      <c r="F6" s="9"/>
      <c r="G6" s="9"/>
      <c r="H6" s="9"/>
      <c r="I6" s="9"/>
      <c r="J6" s="9"/>
      <c r="K6" s="9"/>
      <c r="L6" s="9"/>
      <c r="M6" s="11">
        <f t="shared" ref="M6:M13" si="0">IF(AND(C6&lt;&gt;"",D6&lt;&gt;""),C6*D6,"")</f>
        <v>16</v>
      </c>
      <c r="N6" s="11" t="str">
        <f t="shared" ref="N6:N13" si="1">IF(AND(E6&lt;&gt;"",F6&lt;&gt;""),E6*F6,"")</f>
        <v/>
      </c>
      <c r="O6" s="7" t="str">
        <f t="shared" ref="O6:O13" si="2">IF(AND(G6&lt;&gt;"",H6&lt;&gt;""),G6*H6,"")</f>
        <v/>
      </c>
      <c r="P6" s="7" t="str">
        <f t="shared" ref="P6:P13" si="3">IF(AND(I6&lt;&gt;"",J6&lt;&gt;""),I6*J6,"")</f>
        <v/>
      </c>
      <c r="Q6" s="7" t="str">
        <f t="shared" ref="Q6:Q13" si="4">IF(AND(K6&lt;&gt;"",L6&lt;&gt;""),K6*L6,"")</f>
        <v/>
      </c>
    </row>
    <row r="7" spans="2:17" x14ac:dyDescent="0.3">
      <c r="B7" s="10" t="s">
        <v>41</v>
      </c>
      <c r="C7" s="9"/>
      <c r="D7" s="9"/>
      <c r="E7" s="8">
        <v>3</v>
      </c>
      <c r="F7" s="8">
        <v>4</v>
      </c>
      <c r="G7" s="9"/>
      <c r="H7" s="9"/>
      <c r="I7" s="9"/>
      <c r="J7" s="9"/>
      <c r="K7" s="9"/>
      <c r="L7" s="9"/>
      <c r="M7" s="11" t="str">
        <f t="shared" si="0"/>
        <v/>
      </c>
      <c r="N7" s="11">
        <f t="shared" si="1"/>
        <v>12</v>
      </c>
      <c r="O7" s="7" t="str">
        <f t="shared" si="2"/>
        <v/>
      </c>
      <c r="P7" s="7" t="str">
        <f t="shared" si="3"/>
        <v/>
      </c>
      <c r="Q7" s="7" t="str">
        <f t="shared" si="4"/>
        <v/>
      </c>
    </row>
    <row r="8" spans="2:17" x14ac:dyDescent="0.3">
      <c r="B8" s="10" t="s">
        <v>42</v>
      </c>
      <c r="C8" s="9"/>
      <c r="D8" s="9"/>
      <c r="E8" s="8">
        <v>3</v>
      </c>
      <c r="F8" s="8">
        <v>5</v>
      </c>
      <c r="G8" s="9"/>
      <c r="H8" s="9"/>
      <c r="I8" s="9"/>
      <c r="J8" s="9"/>
      <c r="K8" s="9"/>
      <c r="L8" s="9"/>
      <c r="M8" s="11" t="str">
        <f t="shared" si="0"/>
        <v/>
      </c>
      <c r="N8" s="11">
        <f t="shared" si="1"/>
        <v>15</v>
      </c>
      <c r="O8" s="7" t="str">
        <f t="shared" si="2"/>
        <v/>
      </c>
      <c r="P8" s="7" t="str">
        <f t="shared" si="3"/>
        <v/>
      </c>
      <c r="Q8" s="7" t="str">
        <f t="shared" si="4"/>
        <v/>
      </c>
    </row>
    <row r="9" spans="2:17" x14ac:dyDescent="0.3">
      <c r="B9" s="10" t="s">
        <v>4</v>
      </c>
      <c r="C9" s="9"/>
      <c r="D9" s="9"/>
      <c r="E9" s="9"/>
      <c r="F9" s="9"/>
      <c r="G9" s="8">
        <v>5</v>
      </c>
      <c r="H9" s="8">
        <v>4</v>
      </c>
      <c r="I9" s="9"/>
      <c r="J9" s="9"/>
      <c r="K9" s="9"/>
      <c r="L9" s="9"/>
      <c r="M9" s="11" t="str">
        <f t="shared" si="0"/>
        <v/>
      </c>
      <c r="N9" s="11" t="str">
        <f t="shared" si="1"/>
        <v/>
      </c>
      <c r="O9" s="7">
        <f t="shared" si="2"/>
        <v>20</v>
      </c>
      <c r="P9" s="7" t="str">
        <f t="shared" si="3"/>
        <v/>
      </c>
      <c r="Q9" s="7" t="str">
        <f t="shared" si="4"/>
        <v/>
      </c>
    </row>
    <row r="10" spans="2:17" x14ac:dyDescent="0.3">
      <c r="B10" s="10" t="s">
        <v>5</v>
      </c>
      <c r="C10" s="9"/>
      <c r="D10" s="9"/>
      <c r="E10" s="9"/>
      <c r="F10" s="9"/>
      <c r="G10" s="8">
        <v>5</v>
      </c>
      <c r="H10" s="8">
        <v>4</v>
      </c>
      <c r="I10" s="9"/>
      <c r="J10" s="9"/>
      <c r="K10" s="9"/>
      <c r="L10" s="9"/>
      <c r="M10" s="11" t="str">
        <f t="shared" si="0"/>
        <v/>
      </c>
      <c r="N10" s="11" t="str">
        <f t="shared" si="1"/>
        <v/>
      </c>
      <c r="O10" s="7">
        <f t="shared" si="2"/>
        <v>20</v>
      </c>
      <c r="P10" s="7" t="str">
        <f t="shared" si="3"/>
        <v/>
      </c>
      <c r="Q10" s="7" t="str">
        <f t="shared" si="4"/>
        <v/>
      </c>
    </row>
    <row r="11" spans="2:17" x14ac:dyDescent="0.3">
      <c r="B11" s="10" t="s">
        <v>44</v>
      </c>
      <c r="C11" s="9"/>
      <c r="D11" s="9"/>
      <c r="E11" s="9"/>
      <c r="F11" s="9"/>
      <c r="G11" s="9"/>
      <c r="H11" s="9"/>
      <c r="I11" s="8">
        <v>3</v>
      </c>
      <c r="J11" s="8">
        <v>5</v>
      </c>
      <c r="K11" s="9"/>
      <c r="L11" s="9"/>
      <c r="M11" s="11" t="str">
        <f t="shared" si="0"/>
        <v/>
      </c>
      <c r="N11" s="11" t="str">
        <f t="shared" si="1"/>
        <v/>
      </c>
      <c r="O11" s="7" t="str">
        <f t="shared" si="2"/>
        <v/>
      </c>
      <c r="P11" s="7">
        <f t="shared" si="3"/>
        <v>15</v>
      </c>
      <c r="Q11" s="7" t="str">
        <f t="shared" si="4"/>
        <v/>
      </c>
    </row>
    <row r="12" spans="2:17" x14ac:dyDescent="0.3">
      <c r="B12" s="10" t="s">
        <v>3</v>
      </c>
      <c r="C12" s="9"/>
      <c r="D12" s="9"/>
      <c r="E12" s="9"/>
      <c r="F12" s="9"/>
      <c r="G12" s="9"/>
      <c r="H12" s="9"/>
      <c r="I12" s="9"/>
      <c r="J12" s="9"/>
      <c r="K12" s="8">
        <v>5</v>
      </c>
      <c r="L12" s="8">
        <v>4</v>
      </c>
      <c r="M12" s="11" t="str">
        <f t="shared" si="0"/>
        <v/>
      </c>
      <c r="N12" s="11" t="str">
        <f t="shared" si="1"/>
        <v/>
      </c>
      <c r="O12" s="7" t="str">
        <f t="shared" si="2"/>
        <v/>
      </c>
      <c r="P12" s="7" t="str">
        <f t="shared" si="3"/>
        <v/>
      </c>
      <c r="Q12" s="7">
        <f t="shared" si="4"/>
        <v>20</v>
      </c>
    </row>
    <row r="13" spans="2:17" x14ac:dyDescent="0.3">
      <c r="B13" s="10" t="s">
        <v>43</v>
      </c>
      <c r="C13" s="9"/>
      <c r="D13" s="9"/>
      <c r="E13" s="9"/>
      <c r="F13" s="9"/>
      <c r="G13" s="9"/>
      <c r="H13" s="9"/>
      <c r="I13" s="9"/>
      <c r="J13" s="9"/>
      <c r="K13" s="8">
        <v>5</v>
      </c>
      <c r="L13" s="8">
        <v>4</v>
      </c>
      <c r="M13" s="11" t="str">
        <f t="shared" si="0"/>
        <v/>
      </c>
      <c r="N13" s="11" t="str">
        <f t="shared" si="1"/>
        <v/>
      </c>
      <c r="O13" s="7" t="str">
        <f t="shared" si="2"/>
        <v/>
      </c>
      <c r="P13" s="7" t="str">
        <f t="shared" si="3"/>
        <v/>
      </c>
      <c r="Q13" s="7">
        <f t="shared" si="4"/>
        <v>20</v>
      </c>
    </row>
    <row r="15" spans="2:17" ht="15" thickBot="1" x14ac:dyDescent="0.35"/>
    <row r="16" spans="2:17" ht="15" thickBot="1" x14ac:dyDescent="0.35">
      <c r="B16" s="35" t="s">
        <v>6</v>
      </c>
      <c r="C16" s="34"/>
      <c r="D16" s="34"/>
      <c r="E16" s="34"/>
      <c r="F16" s="39"/>
    </row>
    <row r="17" spans="2:17" x14ac:dyDescent="0.3">
      <c r="B17" s="36"/>
      <c r="C17" s="33" t="s">
        <v>7</v>
      </c>
      <c r="D17" s="37"/>
      <c r="E17" s="37"/>
      <c r="F17" s="38"/>
    </row>
    <row r="18" spans="2:17" x14ac:dyDescent="0.3">
      <c r="B18" s="24"/>
      <c r="C18" s="28" t="s">
        <v>8</v>
      </c>
      <c r="D18" s="27"/>
      <c r="E18" s="27"/>
      <c r="F18" s="29"/>
    </row>
    <row r="19" spans="2:17" x14ac:dyDescent="0.3">
      <c r="B19" s="25"/>
      <c r="C19" s="28" t="s">
        <v>9</v>
      </c>
      <c r="D19" s="27"/>
      <c r="E19" s="27"/>
      <c r="F19" s="29"/>
    </row>
    <row r="20" spans="2:17" ht="15" thickBot="1" x14ac:dyDescent="0.35">
      <c r="B20" s="26"/>
      <c r="C20" s="30" t="s">
        <v>10</v>
      </c>
      <c r="D20" s="31"/>
      <c r="E20" s="31"/>
      <c r="F20" s="32"/>
    </row>
    <row r="22" spans="2:17" x14ac:dyDescent="0.3">
      <c r="B22" s="21" t="s">
        <v>11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5" spans="2:17" x14ac:dyDescent="0.3">
      <c r="B25" s="23" t="s">
        <v>51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</row>
    <row r="26" spans="2:17" ht="66" x14ac:dyDescent="0.3">
      <c r="B26" s="13" t="s">
        <v>0</v>
      </c>
      <c r="C26" s="12" t="s">
        <v>18</v>
      </c>
      <c r="D26" s="12" t="s">
        <v>17</v>
      </c>
      <c r="E26" s="12" t="s">
        <v>39</v>
      </c>
      <c r="F26" s="12" t="s">
        <v>40</v>
      </c>
      <c r="G26" s="12" t="s">
        <v>16</v>
      </c>
      <c r="H26" s="12" t="s">
        <v>15</v>
      </c>
      <c r="I26" s="12" t="s">
        <v>49</v>
      </c>
      <c r="J26" s="12" t="s">
        <v>50</v>
      </c>
      <c r="K26" s="12" t="s">
        <v>45</v>
      </c>
      <c r="L26" s="12" t="s">
        <v>46</v>
      </c>
      <c r="M26" s="12" t="s">
        <v>14</v>
      </c>
      <c r="N26" s="12" t="s">
        <v>47</v>
      </c>
      <c r="O26" s="12" t="s">
        <v>12</v>
      </c>
      <c r="P26" s="12" t="s">
        <v>48</v>
      </c>
      <c r="Q26" s="12" t="s">
        <v>13</v>
      </c>
    </row>
    <row r="27" spans="2:17" x14ac:dyDescent="0.3">
      <c r="B27" s="10" t="s">
        <v>1</v>
      </c>
      <c r="C27" s="8">
        <v>4</v>
      </c>
      <c r="D27" s="8">
        <v>3</v>
      </c>
      <c r="E27" s="9"/>
      <c r="F27" s="9"/>
      <c r="G27" s="9"/>
      <c r="H27" s="9"/>
      <c r="I27" s="9"/>
      <c r="J27" s="9"/>
      <c r="K27" s="9"/>
      <c r="L27" s="9"/>
      <c r="M27" s="11">
        <f>IF(AND(C27&lt;&gt;"",D27&lt;&gt;""),C27*D27,"")</f>
        <v>12</v>
      </c>
      <c r="N27" s="11" t="str">
        <f>IF(AND(E27&lt;&gt;"",F27&lt;&gt;""),E27*F27,"")</f>
        <v/>
      </c>
      <c r="O27" s="7" t="str">
        <f>IF(AND(G27&lt;&gt;"",H27&lt;&gt;""),G27*H27,"")</f>
        <v/>
      </c>
      <c r="P27" s="7" t="str">
        <f>IF(AND(I27&lt;&gt;"",J27&lt;&gt;""),I27*J27,"")</f>
        <v/>
      </c>
      <c r="Q27" s="7" t="str">
        <f>IF(AND(K27&lt;&gt;"",L27&lt;&gt;""),K27*L27,"")</f>
        <v/>
      </c>
    </row>
    <row r="28" spans="2:17" x14ac:dyDescent="0.3">
      <c r="B28" s="10" t="s">
        <v>2</v>
      </c>
      <c r="C28" s="8">
        <v>2</v>
      </c>
      <c r="D28" s="8">
        <v>3</v>
      </c>
      <c r="E28" s="9"/>
      <c r="F28" s="9"/>
      <c r="G28" s="9"/>
      <c r="H28" s="9"/>
      <c r="I28" s="9"/>
      <c r="J28" s="9"/>
      <c r="K28" s="9"/>
      <c r="L28" s="9"/>
      <c r="M28" s="11">
        <f t="shared" ref="M28:M35" si="5">IF(AND(C28&lt;&gt;"",D28&lt;&gt;""),C28*D28,"")</f>
        <v>6</v>
      </c>
      <c r="N28" s="11" t="str">
        <f t="shared" ref="N28:N35" si="6">IF(AND(E28&lt;&gt;"",F28&lt;&gt;""),E28*F28,"")</f>
        <v/>
      </c>
      <c r="O28" s="7" t="str">
        <f t="shared" ref="O28:O35" si="7">IF(AND(G28&lt;&gt;"",H28&lt;&gt;""),G28*H28,"")</f>
        <v/>
      </c>
      <c r="P28" s="7" t="str">
        <f t="shared" ref="P28:P35" si="8">IF(AND(I28&lt;&gt;"",J28&lt;&gt;""),I28*J28,"")</f>
        <v/>
      </c>
      <c r="Q28" s="7" t="str">
        <f t="shared" ref="Q28:Q35" si="9">IF(AND(K28&lt;&gt;"",L28&lt;&gt;""),K28*L28,"")</f>
        <v/>
      </c>
    </row>
    <row r="29" spans="2:17" x14ac:dyDescent="0.3">
      <c r="B29" s="10" t="s">
        <v>41</v>
      </c>
      <c r="C29" s="9"/>
      <c r="D29" s="9"/>
      <c r="E29" s="8">
        <v>2</v>
      </c>
      <c r="F29" s="8">
        <v>3</v>
      </c>
      <c r="G29" s="9"/>
      <c r="H29" s="9"/>
      <c r="I29" s="9"/>
      <c r="J29" s="9"/>
      <c r="K29" s="9"/>
      <c r="L29" s="9"/>
      <c r="M29" s="11" t="str">
        <f t="shared" si="5"/>
        <v/>
      </c>
      <c r="N29" s="11">
        <f t="shared" si="6"/>
        <v>6</v>
      </c>
      <c r="O29" s="7" t="str">
        <f t="shared" si="7"/>
        <v/>
      </c>
      <c r="P29" s="7" t="str">
        <f t="shared" si="8"/>
        <v/>
      </c>
      <c r="Q29" s="7" t="str">
        <f t="shared" si="9"/>
        <v/>
      </c>
    </row>
    <row r="30" spans="2:17" x14ac:dyDescent="0.3">
      <c r="B30" s="10" t="s">
        <v>42</v>
      </c>
      <c r="C30" s="9"/>
      <c r="D30" s="9"/>
      <c r="E30" s="8">
        <v>2</v>
      </c>
      <c r="F30" s="8">
        <v>5</v>
      </c>
      <c r="G30" s="9"/>
      <c r="H30" s="9"/>
      <c r="I30" s="9"/>
      <c r="J30" s="9"/>
      <c r="K30" s="9"/>
      <c r="L30" s="9"/>
      <c r="M30" s="11" t="str">
        <f t="shared" si="5"/>
        <v/>
      </c>
      <c r="N30" s="11">
        <f t="shared" si="6"/>
        <v>10</v>
      </c>
      <c r="O30" s="7" t="str">
        <f t="shared" si="7"/>
        <v/>
      </c>
      <c r="P30" s="7" t="str">
        <f t="shared" si="8"/>
        <v/>
      </c>
      <c r="Q30" s="7" t="str">
        <f t="shared" si="9"/>
        <v/>
      </c>
    </row>
    <row r="31" spans="2:17" x14ac:dyDescent="0.3">
      <c r="B31" s="10" t="s">
        <v>4</v>
      </c>
      <c r="C31" s="9"/>
      <c r="D31" s="9"/>
      <c r="E31" s="9"/>
      <c r="F31" s="9"/>
      <c r="G31" s="8">
        <v>2</v>
      </c>
      <c r="H31" s="8">
        <v>2</v>
      </c>
      <c r="I31" s="9"/>
      <c r="J31" s="9"/>
      <c r="K31" s="9"/>
      <c r="L31" s="9"/>
      <c r="M31" s="11" t="str">
        <f t="shared" si="5"/>
        <v/>
      </c>
      <c r="N31" s="11" t="str">
        <f t="shared" si="6"/>
        <v/>
      </c>
      <c r="O31" s="7">
        <f>IF(AND(G31&lt;&gt;"",H31&lt;&gt;""),G31*H31,"")</f>
        <v>4</v>
      </c>
      <c r="P31" s="7" t="str">
        <f t="shared" si="8"/>
        <v/>
      </c>
      <c r="Q31" s="7" t="str">
        <f t="shared" si="9"/>
        <v/>
      </c>
    </row>
    <row r="32" spans="2:17" x14ac:dyDescent="0.3">
      <c r="B32" s="10" t="s">
        <v>5</v>
      </c>
      <c r="C32" s="9"/>
      <c r="D32" s="9"/>
      <c r="E32" s="9"/>
      <c r="F32" s="9"/>
      <c r="G32" s="8">
        <v>2</v>
      </c>
      <c r="H32" s="8">
        <v>2</v>
      </c>
      <c r="I32" s="9"/>
      <c r="J32" s="9"/>
      <c r="K32" s="9"/>
      <c r="L32" s="9"/>
      <c r="M32" s="11" t="str">
        <f t="shared" si="5"/>
        <v/>
      </c>
      <c r="N32" s="11" t="str">
        <f t="shared" si="6"/>
        <v/>
      </c>
      <c r="O32" s="7">
        <f t="shared" si="7"/>
        <v>4</v>
      </c>
      <c r="P32" s="7" t="str">
        <f t="shared" si="8"/>
        <v/>
      </c>
      <c r="Q32" s="7" t="str">
        <f t="shared" si="9"/>
        <v/>
      </c>
    </row>
    <row r="33" spans="2:22" x14ac:dyDescent="0.3">
      <c r="B33" s="10" t="s">
        <v>44</v>
      </c>
      <c r="C33" s="9"/>
      <c r="D33" s="9"/>
      <c r="E33" s="9"/>
      <c r="F33" s="9"/>
      <c r="G33" s="9"/>
      <c r="H33" s="9"/>
      <c r="I33" s="8">
        <v>2</v>
      </c>
      <c r="J33" s="8">
        <v>4</v>
      </c>
      <c r="K33" s="9"/>
      <c r="L33" s="9"/>
      <c r="M33" s="11" t="str">
        <f t="shared" si="5"/>
        <v/>
      </c>
      <c r="N33" s="11" t="str">
        <f t="shared" si="6"/>
        <v/>
      </c>
      <c r="O33" s="7" t="str">
        <f t="shared" si="7"/>
        <v/>
      </c>
      <c r="P33" s="7">
        <f t="shared" si="8"/>
        <v>8</v>
      </c>
      <c r="Q33" s="7" t="str">
        <f t="shared" si="9"/>
        <v/>
      </c>
    </row>
    <row r="34" spans="2:22" x14ac:dyDescent="0.3">
      <c r="B34" s="10" t="s">
        <v>3</v>
      </c>
      <c r="C34" s="9"/>
      <c r="D34" s="9"/>
      <c r="E34" s="9"/>
      <c r="F34" s="9"/>
      <c r="G34" s="9"/>
      <c r="H34" s="9"/>
      <c r="I34" s="9"/>
      <c r="J34" s="9"/>
      <c r="K34" s="8">
        <v>2</v>
      </c>
      <c r="L34" s="8">
        <v>2</v>
      </c>
      <c r="M34" s="11" t="str">
        <f t="shared" si="5"/>
        <v/>
      </c>
      <c r="N34" s="11" t="str">
        <f t="shared" si="6"/>
        <v/>
      </c>
      <c r="O34" s="7" t="str">
        <f t="shared" si="7"/>
        <v/>
      </c>
      <c r="P34" s="7" t="str">
        <f t="shared" si="8"/>
        <v/>
      </c>
      <c r="Q34" s="7">
        <f t="shared" si="9"/>
        <v>4</v>
      </c>
    </row>
    <row r="35" spans="2:22" x14ac:dyDescent="0.3">
      <c r="B35" s="10" t="s">
        <v>43</v>
      </c>
      <c r="C35" s="9"/>
      <c r="D35" s="9"/>
      <c r="E35" s="9"/>
      <c r="F35" s="9"/>
      <c r="G35" s="9"/>
      <c r="H35" s="9"/>
      <c r="I35" s="9"/>
      <c r="J35" s="9"/>
      <c r="K35" s="8">
        <v>3</v>
      </c>
      <c r="L35" s="8">
        <v>3</v>
      </c>
      <c r="M35" s="11" t="str">
        <f t="shared" si="5"/>
        <v/>
      </c>
      <c r="N35" s="11" t="str">
        <f t="shared" si="6"/>
        <v/>
      </c>
      <c r="O35" s="7" t="str">
        <f t="shared" si="7"/>
        <v/>
      </c>
      <c r="P35" s="7" t="str">
        <f t="shared" si="8"/>
        <v/>
      </c>
      <c r="Q35" s="7">
        <f t="shared" si="9"/>
        <v>9</v>
      </c>
    </row>
    <row r="36" spans="2:22" x14ac:dyDescent="0.3">
      <c r="B36" s="6" t="s">
        <v>6</v>
      </c>
    </row>
    <row r="37" spans="2:22" x14ac:dyDescent="0.3">
      <c r="B37" s="5"/>
      <c r="C37" s="1" t="s">
        <v>7</v>
      </c>
    </row>
    <row r="38" spans="2:22" x14ac:dyDescent="0.3">
      <c r="B38" s="4"/>
      <c r="C38" s="1" t="s">
        <v>8</v>
      </c>
    </row>
    <row r="39" spans="2:22" x14ac:dyDescent="0.3">
      <c r="B39" s="3"/>
      <c r="C39" s="1" t="s">
        <v>9</v>
      </c>
    </row>
    <row r="40" spans="2:22" x14ac:dyDescent="0.3">
      <c r="B40" s="2"/>
      <c r="C40" s="1" t="s">
        <v>10</v>
      </c>
    </row>
    <row r="42" spans="2:22" ht="44.4" customHeight="1" x14ac:dyDescent="0.3">
      <c r="B42" s="21" t="s">
        <v>11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</row>
    <row r="45" spans="2:22" ht="15.6" x14ac:dyDescent="0.3">
      <c r="U45" s="22" t="s">
        <v>38</v>
      </c>
      <c r="V45" s="22"/>
    </row>
    <row r="47" spans="2:22" ht="290.39999999999998" x14ac:dyDescent="0.3">
      <c r="U47" s="18" t="s">
        <v>0</v>
      </c>
      <c r="V47" s="19" t="s">
        <v>37</v>
      </c>
    </row>
    <row r="48" spans="2:22" ht="158.4" x14ac:dyDescent="0.3">
      <c r="U48" s="18" t="s">
        <v>36</v>
      </c>
      <c r="V48" s="19" t="s">
        <v>35</v>
      </c>
    </row>
    <row r="49" spans="21:22" ht="184.8" x14ac:dyDescent="0.3">
      <c r="U49" s="18" t="s">
        <v>34</v>
      </c>
      <c r="V49" s="19" t="s">
        <v>33</v>
      </c>
    </row>
    <row r="50" spans="21:22" ht="356.4" x14ac:dyDescent="0.3">
      <c r="U50" s="18" t="s">
        <v>32</v>
      </c>
      <c r="V50" s="19" t="s">
        <v>31</v>
      </c>
    </row>
    <row r="51" spans="21:22" ht="198" x14ac:dyDescent="0.3">
      <c r="U51" s="18" t="s">
        <v>30</v>
      </c>
      <c r="V51" s="19" t="s">
        <v>29</v>
      </c>
    </row>
    <row r="52" spans="21:22" ht="290.39999999999998" x14ac:dyDescent="0.3">
      <c r="U52" s="18" t="s">
        <v>28</v>
      </c>
      <c r="V52" s="19" t="s">
        <v>27</v>
      </c>
    </row>
    <row r="53" spans="21:22" ht="237.6" x14ac:dyDescent="0.3">
      <c r="U53" s="18" t="s">
        <v>26</v>
      </c>
      <c r="V53" s="19" t="s">
        <v>25</v>
      </c>
    </row>
    <row r="54" spans="21:22" ht="277.2" x14ac:dyDescent="0.3">
      <c r="U54" s="18" t="s">
        <v>24</v>
      </c>
      <c r="V54" s="19" t="s">
        <v>23</v>
      </c>
    </row>
    <row r="56" spans="21:22" x14ac:dyDescent="0.3">
      <c r="U56" s="18" t="s">
        <v>22</v>
      </c>
    </row>
    <row r="57" spans="21:22" x14ac:dyDescent="0.3">
      <c r="U57" s="17" t="s">
        <v>21</v>
      </c>
    </row>
    <row r="58" spans="21:22" x14ac:dyDescent="0.3">
      <c r="U58" s="16" t="s">
        <v>20</v>
      </c>
    </row>
    <row r="59" spans="21:22" x14ac:dyDescent="0.3">
      <c r="U59" s="15" t="s">
        <v>9</v>
      </c>
    </row>
    <row r="60" spans="21:22" x14ac:dyDescent="0.3">
      <c r="U60" s="14" t="s">
        <v>19</v>
      </c>
    </row>
  </sheetData>
  <mergeCells count="5">
    <mergeCell ref="B3:Q3"/>
    <mergeCell ref="B22:Q22"/>
    <mergeCell ref="B25:Q25"/>
    <mergeCell ref="B42:Q42"/>
    <mergeCell ref="U45:V45"/>
  </mergeCells>
  <conditionalFormatting sqref="M5:Q13">
    <cfRule type="cellIs" dxfId="27" priority="13" operator="greaterThanOrEqual">
      <formula>15</formula>
    </cfRule>
    <cfRule type="cellIs" dxfId="26" priority="14" operator="between">
      <formula>10</formula>
      <formula>14</formula>
    </cfRule>
    <cfRule type="cellIs" dxfId="25" priority="15" operator="between">
      <formula>5</formula>
      <formula>9</formula>
    </cfRule>
    <cfRule type="cellIs" dxfId="24" priority="16" operator="between">
      <formula>1</formula>
      <formula>4</formula>
    </cfRule>
  </conditionalFormatting>
  <conditionalFormatting sqref="M27:Q35">
    <cfRule type="cellIs" dxfId="15" priority="1" operator="greaterThanOrEqual">
      <formula>15</formula>
    </cfRule>
    <cfRule type="cellIs" dxfId="14" priority="2" operator="between">
      <formula>10</formula>
      <formula>14</formula>
    </cfRule>
    <cfRule type="cellIs" dxfId="13" priority="3" operator="between">
      <formula>5</formula>
      <formula>9</formula>
    </cfRule>
    <cfRule type="cellIs" dxfId="12" priority="4" operator="between">
      <formula>1</formula>
      <formula>4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Fourie</dc:creator>
  <cp:lastModifiedBy>Juan Fourie</cp:lastModifiedBy>
  <dcterms:created xsi:type="dcterms:W3CDTF">2026-08-16T21:14:01Z</dcterms:created>
  <dcterms:modified xsi:type="dcterms:W3CDTF">2026-10-19T22:17:56Z</dcterms:modified>
</cp:coreProperties>
</file>