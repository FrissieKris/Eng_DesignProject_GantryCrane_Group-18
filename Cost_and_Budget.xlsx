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ordWes Universiteit\Mechatronics Engineering\Jaar 3\Semester 2\MCTR327\Eng_DesignProject_GantryCrane_Group-18\"/>
    </mc:Choice>
  </mc:AlternateContent>
  <xr:revisionPtr revIDLastSave="0" documentId="13_ncr:1_{A9266FAD-3D8C-467D-8BE2-452C0CB9FFF8}" xr6:coauthVersionLast="47" xr6:coauthVersionMax="47" xr10:uidLastSave="{00000000-0000-0000-0000-000000000000}"/>
  <bookViews>
    <workbookView xWindow="-108" yWindow="-108" windowWidth="23256" windowHeight="12456" xr2:uid="{E3B5146F-956B-40B1-9839-D4B56342F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1" l="1"/>
  <c r="M3" i="1"/>
  <c r="G39" i="1"/>
  <c r="G44" i="1"/>
  <c r="C62" i="1"/>
  <c r="C33" i="1"/>
  <c r="C22" i="1"/>
  <c r="C11" i="1"/>
  <c r="L3" i="1"/>
</calcChain>
</file>

<file path=xl/sharedStrings.xml><?xml version="1.0" encoding="utf-8"?>
<sst xmlns="http://schemas.openxmlformats.org/spreadsheetml/2006/main" count="77" uniqueCount="37">
  <si>
    <t>EEII II</t>
  </si>
  <si>
    <t>MCTR II</t>
  </si>
  <si>
    <t>REII</t>
  </si>
  <si>
    <t>Part</t>
  </si>
  <si>
    <t>Amount</t>
  </si>
  <si>
    <t>Description</t>
  </si>
  <si>
    <t>EEII I</t>
  </si>
  <si>
    <t>Status</t>
  </si>
  <si>
    <t>Ordered</t>
  </si>
  <si>
    <t>Not Ordered</t>
  </si>
  <si>
    <t>Delivered</t>
  </si>
  <si>
    <t>Budget Available</t>
  </si>
  <si>
    <t xml:space="preserve">Budget Total </t>
  </si>
  <si>
    <t>Total Cost</t>
  </si>
  <si>
    <t>MCTR I</t>
  </si>
  <si>
    <t>Link</t>
  </si>
  <si>
    <t>Cost/Unit</t>
  </si>
  <si>
    <t>Order Cost</t>
  </si>
  <si>
    <t xml:space="preserve">Ball Bearings </t>
  </si>
  <si>
    <t>https://bmgworld.net/product/6000%202RS%20BTC?catCode=bearings</t>
  </si>
  <si>
    <t>Load Cell</t>
  </si>
  <si>
    <t>https://www.robotics.org.za/YZC-516-100KG</t>
  </si>
  <si>
    <t>HX711</t>
  </si>
  <si>
    <t>Brake</t>
  </si>
  <si>
    <t>https://www.eastelite.co.za/product/online-shop-parts/drive-motors-replacment-wheels-and-motors/brake-assy-ept15h/?utm_source=Google%20Shopping&amp;utm_campaign=Main%20Feed&amp;utm_medium=cpc&amp;utm_term=adtribes&amp;srsltid=AU7gw4UjYZUIOVW2CanUycxWMdMDX_0_TgSJzhdOcKx14pVvM6XbNV-5XNc</t>
  </si>
  <si>
    <t>Brake Power Supply</t>
  </si>
  <si>
    <t>https://za.rs-online.com/web/p/switching-power-supplies/1065834</t>
  </si>
  <si>
    <t>https://www.robotics.org.za/HX711-MOD?search=hx711</t>
  </si>
  <si>
    <t xml:space="preserve">Ordered </t>
  </si>
  <si>
    <t>Received</t>
  </si>
  <si>
    <t>Shipping</t>
  </si>
  <si>
    <t>Ordered From</t>
  </si>
  <si>
    <t>BMG</t>
  </si>
  <si>
    <t>Micro Robotics</t>
  </si>
  <si>
    <t>RS Electronics</t>
  </si>
  <si>
    <t>East Elite</t>
  </si>
  <si>
    <t>Ordered Personally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</si>
</sst>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44" fontId="0" fillId="0" borderId="0" xfId="1" applyFont="1"/>
    <xf numFmtId="0" fontId="0" fillId="3" borderId="1" xfId="0" applyFill="1" applyBorder="1"/>
    <xf numFmtId="44" fontId="2" fillId="4" borderId="0" xfId="0" applyNumberFormat="1" applyFont="1" applyFill="1"/>
    <xf numFmtId="0" fontId="0" fillId="0" borderId="1" xfId="0" applyBorder="1" applyAlignment="1">
      <alignment wrapText="1"/>
    </xf>
    <xf numFmtId="0" fontId="3" fillId="0" borderId="1" xfId="2" applyBorder="1" applyAlignment="1">
      <alignment wrapText="1"/>
    </xf>
    <xf numFmtId="0" fontId="3" fillId="0" borderId="1" xfId="2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2" applyBorder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a.rs-online.com/web/p/switching-power-supplies/1065834" TargetMode="External"/><Relationship Id="rId2" Type="http://schemas.openxmlformats.org/officeDocument/2006/relationships/hyperlink" Target="https://www.robotics.org.za/HX711-MOD?search=hx711" TargetMode="External"/><Relationship Id="rId1" Type="http://schemas.openxmlformats.org/officeDocument/2006/relationships/hyperlink" Target="https://www.robotics.org.za/YZC-516-100KG" TargetMode="External"/><Relationship Id="rId4" Type="http://schemas.openxmlformats.org/officeDocument/2006/relationships/hyperlink" Target="https://www.eastelite.co.za/product/online-shop-parts/drive-motors-replacment-wheels-and-motors/brake-assy-ept15h/?utm_source=Google%20Shopping&amp;utm_campaign=Main%20Feed&amp;utm_medium=cpc&amp;utm_term=adtribes&amp;srsltid=AU7gw4UjYZUIOVW2CanUycxWMdMDX_0_TgSJzhdOcKx14pVvM6XbNV-5X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25BD-B7B9-41FE-BACE-37F8015907CD}">
  <dimension ref="B2:R62"/>
  <sheetViews>
    <sheetView tabSelected="1" topLeftCell="A25" workbookViewId="0">
      <selection activeCell="C42" sqref="C42:J42"/>
    </sheetView>
  </sheetViews>
  <sheetFormatPr defaultRowHeight="14.4" x14ac:dyDescent="0.3"/>
  <cols>
    <col min="3" max="3" width="18.77734375" bestFit="1" customWidth="1"/>
    <col min="5" max="5" width="8.5546875" bestFit="1" customWidth="1"/>
    <col min="6" max="6" width="8.5546875" customWidth="1"/>
    <col min="7" max="7" width="9.6640625" bestFit="1" customWidth="1"/>
    <col min="8" max="8" width="48.6640625" customWidth="1"/>
    <col min="9" max="9" width="30.77734375" bestFit="1" customWidth="1"/>
    <col min="10" max="10" width="10.88671875" bestFit="1" customWidth="1"/>
    <col min="12" max="12" width="11.109375" bestFit="1" customWidth="1"/>
    <col min="13" max="13" width="14.21875" bestFit="1" customWidth="1"/>
    <col min="14" max="14" width="8.33203125" bestFit="1" customWidth="1"/>
    <col min="15" max="15" width="6" bestFit="1" customWidth="1"/>
    <col min="16" max="16" width="36.109375" customWidth="1"/>
    <col min="17" max="18" width="10.88671875" bestFit="1" customWidth="1"/>
    <col min="19" max="19" width="14.5546875" customWidth="1"/>
  </cols>
  <sheetData>
    <row r="2" spans="2:18" x14ac:dyDescent="0.3">
      <c r="B2" s="10" t="s">
        <v>6</v>
      </c>
      <c r="C2" s="10"/>
      <c r="D2" s="10"/>
      <c r="E2" s="10"/>
      <c r="F2" s="10"/>
      <c r="G2" s="10"/>
      <c r="H2" s="10"/>
      <c r="I2" s="10"/>
      <c r="J2" s="10"/>
      <c r="L2" t="s">
        <v>12</v>
      </c>
      <c r="M2" t="s">
        <v>11</v>
      </c>
      <c r="O2" t="s">
        <v>7</v>
      </c>
      <c r="P2" t="s">
        <v>8</v>
      </c>
      <c r="Q2" t="s">
        <v>9</v>
      </c>
      <c r="R2" t="s">
        <v>10</v>
      </c>
    </row>
    <row r="3" spans="2:18" x14ac:dyDescent="0.3">
      <c r="B3" s="1"/>
      <c r="C3" s="3" t="s">
        <v>3</v>
      </c>
      <c r="D3" s="3" t="s">
        <v>4</v>
      </c>
      <c r="E3" s="3" t="s">
        <v>16</v>
      </c>
      <c r="F3" s="3" t="s">
        <v>30</v>
      </c>
      <c r="G3" s="3" t="s">
        <v>17</v>
      </c>
      <c r="H3" s="3" t="s">
        <v>15</v>
      </c>
      <c r="I3" s="3" t="s">
        <v>5</v>
      </c>
      <c r="J3" s="3" t="s">
        <v>7</v>
      </c>
      <c r="L3" s="2">
        <f>5000</f>
        <v>5000</v>
      </c>
      <c r="M3" s="4">
        <f>L3-C11-C22-C33-C42-C62</f>
        <v>3885.19</v>
      </c>
    </row>
    <row r="4" spans="2:18" x14ac:dyDescent="0.3">
      <c r="B4" s="1"/>
      <c r="C4" s="1"/>
      <c r="D4" s="1"/>
      <c r="E4" s="1"/>
      <c r="F4" s="1"/>
      <c r="G4" s="1"/>
      <c r="H4" s="1"/>
      <c r="I4" s="1"/>
      <c r="J4" s="1"/>
    </row>
    <row r="5" spans="2:18" x14ac:dyDescent="0.3">
      <c r="B5" s="1"/>
      <c r="C5" s="1"/>
      <c r="D5" s="1"/>
      <c r="E5" s="1"/>
      <c r="F5" s="1"/>
      <c r="G5" s="1"/>
      <c r="H5" s="1"/>
      <c r="I5" s="1"/>
      <c r="J5" s="1"/>
    </row>
    <row r="6" spans="2:18" x14ac:dyDescent="0.3">
      <c r="B6" s="1"/>
      <c r="C6" s="1"/>
      <c r="D6" s="1"/>
      <c r="E6" s="1"/>
      <c r="F6" s="1"/>
      <c r="G6" s="1"/>
      <c r="H6" s="1"/>
      <c r="I6" s="1"/>
      <c r="J6" s="1"/>
    </row>
    <row r="7" spans="2:18" x14ac:dyDescent="0.3">
      <c r="B7" s="1"/>
      <c r="C7" s="1"/>
      <c r="D7" s="1"/>
      <c r="E7" s="1"/>
      <c r="F7" s="1"/>
      <c r="G7" s="1"/>
      <c r="H7" s="1"/>
      <c r="I7" s="1"/>
      <c r="J7" s="1"/>
    </row>
    <row r="8" spans="2:18" x14ac:dyDescent="0.3">
      <c r="B8" s="1"/>
      <c r="C8" s="1"/>
      <c r="D8" s="1"/>
      <c r="E8" s="1"/>
      <c r="F8" s="1"/>
      <c r="G8" s="1"/>
      <c r="H8" s="1"/>
      <c r="I8" s="1"/>
      <c r="J8" s="1"/>
    </row>
    <row r="9" spans="2:18" x14ac:dyDescent="0.3">
      <c r="B9" s="1"/>
      <c r="C9" s="1"/>
      <c r="D9" s="1"/>
      <c r="E9" s="1"/>
      <c r="F9" s="1"/>
      <c r="G9" s="1"/>
      <c r="H9" s="1"/>
      <c r="I9" s="1"/>
      <c r="J9" s="1"/>
    </row>
    <row r="10" spans="2:18" x14ac:dyDescent="0.3">
      <c r="B10" s="1"/>
      <c r="C10" s="1"/>
      <c r="D10" s="1"/>
      <c r="E10" s="1"/>
      <c r="F10" s="1"/>
      <c r="G10" s="1"/>
      <c r="H10" s="1"/>
      <c r="I10" s="1"/>
      <c r="J10" s="1"/>
    </row>
    <row r="11" spans="2:18" x14ac:dyDescent="0.3">
      <c r="B11" s="1" t="s">
        <v>13</v>
      </c>
      <c r="C11" s="13">
        <f>SUM(G4:G10)</f>
        <v>0</v>
      </c>
      <c r="D11" s="14"/>
      <c r="E11" s="14"/>
      <c r="F11" s="14"/>
      <c r="G11" s="14"/>
      <c r="H11" s="14"/>
      <c r="I11" s="14"/>
      <c r="J11" s="15"/>
    </row>
    <row r="13" spans="2:18" x14ac:dyDescent="0.3">
      <c r="B13" s="10" t="s">
        <v>0</v>
      </c>
      <c r="C13" s="11"/>
      <c r="D13" s="11"/>
      <c r="E13" s="11"/>
      <c r="F13" s="11"/>
      <c r="G13" s="11"/>
      <c r="H13" s="11"/>
      <c r="I13" s="11"/>
      <c r="J13" s="12"/>
    </row>
    <row r="14" spans="2:18" x14ac:dyDescent="0.3">
      <c r="B14" s="1"/>
      <c r="C14" s="3" t="s">
        <v>3</v>
      </c>
      <c r="D14" s="3" t="s">
        <v>4</v>
      </c>
      <c r="E14" s="3" t="s">
        <v>16</v>
      </c>
      <c r="F14" s="3" t="s">
        <v>30</v>
      </c>
      <c r="G14" s="3" t="s">
        <v>17</v>
      </c>
      <c r="H14" s="3" t="s">
        <v>15</v>
      </c>
      <c r="I14" s="3" t="s">
        <v>5</v>
      </c>
      <c r="J14" s="3" t="s">
        <v>7</v>
      </c>
    </row>
    <row r="15" spans="2:18" x14ac:dyDescent="0.3">
      <c r="B15" s="1"/>
      <c r="C15" s="1"/>
      <c r="D15" s="1"/>
      <c r="E15" s="1"/>
      <c r="F15" s="1"/>
      <c r="G15" s="1"/>
      <c r="H15" s="1"/>
      <c r="I15" s="1"/>
      <c r="J15" s="1"/>
    </row>
    <row r="16" spans="2:18" x14ac:dyDescent="0.3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3">
      <c r="B17" s="1"/>
      <c r="C17" s="1"/>
      <c r="D17" s="1"/>
      <c r="E17" s="1"/>
      <c r="F17" s="1"/>
      <c r="G17" s="1"/>
      <c r="H17" s="1"/>
      <c r="I17" s="1"/>
      <c r="J17" s="1"/>
    </row>
    <row r="18" spans="2:10" x14ac:dyDescent="0.3">
      <c r="B18" s="1"/>
      <c r="C18" s="1"/>
      <c r="D18" s="1"/>
      <c r="E18" s="1"/>
      <c r="F18" s="1"/>
      <c r="G18" s="1"/>
      <c r="H18" s="1"/>
      <c r="I18" s="1"/>
      <c r="J18" s="1"/>
    </row>
    <row r="19" spans="2:10" x14ac:dyDescent="0.3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3">
      <c r="B20" s="1"/>
      <c r="C20" s="1"/>
      <c r="D20" s="1"/>
      <c r="E20" s="1"/>
      <c r="F20" s="1"/>
      <c r="G20" s="1"/>
      <c r="H20" s="1"/>
      <c r="I20" s="1"/>
      <c r="J20" s="1"/>
    </row>
    <row r="21" spans="2:10" x14ac:dyDescent="0.3">
      <c r="B21" s="1"/>
      <c r="C21" s="1"/>
      <c r="D21" s="1"/>
      <c r="E21" s="1"/>
      <c r="F21" s="1"/>
      <c r="G21" s="1"/>
      <c r="H21" s="1"/>
      <c r="I21" s="1"/>
      <c r="J21" s="1"/>
    </row>
    <row r="22" spans="2:10" x14ac:dyDescent="0.3">
      <c r="B22" s="1" t="s">
        <v>13</v>
      </c>
      <c r="C22" s="13">
        <f>SUM(G15:G21)</f>
        <v>0</v>
      </c>
      <c r="D22" s="14"/>
      <c r="E22" s="14"/>
      <c r="F22" s="14"/>
      <c r="G22" s="14"/>
      <c r="H22" s="14"/>
      <c r="I22" s="14"/>
      <c r="J22" s="15"/>
    </row>
    <row r="24" spans="2:10" x14ac:dyDescent="0.3">
      <c r="B24" s="10" t="s">
        <v>14</v>
      </c>
      <c r="C24" s="11"/>
      <c r="D24" s="11"/>
      <c r="E24" s="11"/>
      <c r="F24" s="11"/>
      <c r="G24" s="11"/>
      <c r="H24" s="11"/>
      <c r="I24" s="11"/>
      <c r="J24" s="12"/>
    </row>
    <row r="25" spans="2:10" x14ac:dyDescent="0.3">
      <c r="B25" s="1"/>
      <c r="C25" s="3" t="s">
        <v>3</v>
      </c>
      <c r="D25" s="3" t="s">
        <v>4</v>
      </c>
      <c r="E25" s="3" t="s">
        <v>16</v>
      </c>
      <c r="F25" s="3" t="s">
        <v>30</v>
      </c>
      <c r="G25" s="3" t="s">
        <v>17</v>
      </c>
      <c r="H25" s="3" t="s">
        <v>15</v>
      </c>
      <c r="I25" s="3" t="s">
        <v>5</v>
      </c>
      <c r="J25" s="3" t="s">
        <v>7</v>
      </c>
    </row>
    <row r="26" spans="2:10" x14ac:dyDescent="0.3">
      <c r="B26" s="1"/>
      <c r="C26" s="1"/>
      <c r="D26" s="1"/>
      <c r="E26" s="1"/>
      <c r="F26" s="1"/>
      <c r="G26" s="1"/>
      <c r="H26" s="1"/>
      <c r="I26" s="1"/>
      <c r="J26" s="1"/>
    </row>
    <row r="27" spans="2:10" x14ac:dyDescent="0.3">
      <c r="B27" s="1"/>
      <c r="C27" s="1"/>
      <c r="D27" s="1"/>
      <c r="E27" s="1"/>
      <c r="F27" s="1"/>
      <c r="G27" s="1"/>
      <c r="H27" s="1"/>
      <c r="I27" s="1"/>
      <c r="J27" s="1"/>
    </row>
    <row r="28" spans="2:10" x14ac:dyDescent="0.3">
      <c r="B28" s="1"/>
      <c r="C28" s="1"/>
      <c r="D28" s="1"/>
      <c r="E28" s="1"/>
      <c r="F28" s="1"/>
      <c r="G28" s="1"/>
      <c r="H28" s="1"/>
      <c r="I28" s="1"/>
      <c r="J28" s="1"/>
    </row>
    <row r="29" spans="2:10" x14ac:dyDescent="0.3">
      <c r="B29" s="1"/>
      <c r="C29" s="1"/>
      <c r="D29" s="1"/>
      <c r="E29" s="1"/>
      <c r="F29" s="1"/>
      <c r="G29" s="1"/>
      <c r="H29" s="1"/>
      <c r="I29" s="1"/>
      <c r="J29" s="1"/>
    </row>
    <row r="30" spans="2:10" x14ac:dyDescent="0.3">
      <c r="B30" s="1"/>
      <c r="C30" s="1"/>
      <c r="D30" s="1"/>
      <c r="E30" s="1"/>
      <c r="F30" s="1"/>
      <c r="G30" s="1"/>
      <c r="H30" s="1"/>
      <c r="I30" s="1"/>
      <c r="J30" s="1"/>
    </row>
    <row r="31" spans="2:10" x14ac:dyDescent="0.3">
      <c r="B31" s="1"/>
      <c r="C31" s="1"/>
      <c r="D31" s="1"/>
      <c r="E31" s="1"/>
      <c r="F31" s="1"/>
      <c r="G31" s="1"/>
      <c r="H31" s="1"/>
      <c r="I31" s="1"/>
      <c r="J31" s="1"/>
    </row>
    <row r="32" spans="2:10" x14ac:dyDescent="0.3">
      <c r="B32" s="1"/>
      <c r="C32" s="1"/>
      <c r="D32" s="1"/>
      <c r="E32" s="1"/>
      <c r="F32" s="1"/>
      <c r="G32" s="1"/>
      <c r="H32" s="1"/>
      <c r="I32" s="1"/>
      <c r="J32" s="1"/>
    </row>
    <row r="33" spans="2:14" x14ac:dyDescent="0.3">
      <c r="B33" s="1" t="s">
        <v>13</v>
      </c>
      <c r="C33" s="13">
        <f>SUM(G26:G32)</f>
        <v>0</v>
      </c>
      <c r="D33" s="14"/>
      <c r="E33" s="14"/>
      <c r="F33" s="14"/>
      <c r="G33" s="14"/>
      <c r="H33" s="14"/>
      <c r="I33" s="14"/>
      <c r="J33" s="15"/>
    </row>
    <row r="35" spans="2:14" x14ac:dyDescent="0.3">
      <c r="B35" s="10" t="s">
        <v>1</v>
      </c>
      <c r="C35" s="11"/>
      <c r="D35" s="11"/>
      <c r="E35" s="11"/>
      <c r="F35" s="11"/>
      <c r="G35" s="11"/>
      <c r="H35" s="11"/>
      <c r="I35" s="11"/>
      <c r="J35" s="12"/>
    </row>
    <row r="36" spans="2:14" x14ac:dyDescent="0.3">
      <c r="B36" s="1"/>
      <c r="C36" s="3" t="s">
        <v>3</v>
      </c>
      <c r="D36" s="3" t="s">
        <v>4</v>
      </c>
      <c r="E36" s="3" t="s">
        <v>16</v>
      </c>
      <c r="F36" s="3" t="s">
        <v>30</v>
      </c>
      <c r="G36" s="3" t="s">
        <v>17</v>
      </c>
      <c r="H36" s="3" t="s">
        <v>15</v>
      </c>
      <c r="I36" s="3" t="s">
        <v>31</v>
      </c>
      <c r="J36" s="3" t="s">
        <v>7</v>
      </c>
    </row>
    <row r="37" spans="2:14" ht="55.2" customHeight="1" x14ac:dyDescent="0.3">
      <c r="B37" s="1"/>
      <c r="C37" s="1" t="s">
        <v>18</v>
      </c>
      <c r="D37" s="1">
        <v>8</v>
      </c>
      <c r="E37" s="1">
        <v>14.53</v>
      </c>
      <c r="F37" s="1"/>
      <c r="G37" s="1">
        <v>116.24</v>
      </c>
      <c r="H37" s="5" t="s">
        <v>19</v>
      </c>
      <c r="I37" s="1" t="s">
        <v>32</v>
      </c>
      <c r="J37" s="1" t="s">
        <v>8</v>
      </c>
      <c r="L37" t="s">
        <v>28</v>
      </c>
      <c r="M37" t="s">
        <v>9</v>
      </c>
      <c r="N37" t="s">
        <v>29</v>
      </c>
    </row>
    <row r="38" spans="2:14" x14ac:dyDescent="0.3">
      <c r="B38" s="1"/>
      <c r="C38" s="1" t="s">
        <v>20</v>
      </c>
      <c r="D38" s="1">
        <v>1</v>
      </c>
      <c r="E38" s="1">
        <v>493.35</v>
      </c>
      <c r="F38" s="16">
        <v>135.69999999999999</v>
      </c>
      <c r="G38" s="1">
        <v>429</v>
      </c>
      <c r="H38" s="6" t="s">
        <v>21</v>
      </c>
      <c r="I38" s="1" t="s">
        <v>33</v>
      </c>
      <c r="J38" s="16" t="s">
        <v>8</v>
      </c>
    </row>
    <row r="39" spans="2:14" x14ac:dyDescent="0.3">
      <c r="B39" s="1"/>
      <c r="C39" s="1" t="s">
        <v>22</v>
      </c>
      <c r="D39" s="1">
        <v>1</v>
      </c>
      <c r="E39" s="1">
        <v>43.7</v>
      </c>
      <c r="F39" s="17"/>
      <c r="G39" s="1">
        <f>E39*D39+F38</f>
        <v>179.39999999999998</v>
      </c>
      <c r="H39" s="7" t="s">
        <v>27</v>
      </c>
      <c r="I39" s="1" t="s">
        <v>33</v>
      </c>
      <c r="J39" s="17"/>
    </row>
    <row r="40" spans="2:14" ht="28.8" x14ac:dyDescent="0.3">
      <c r="B40" s="1"/>
      <c r="C40" s="1" t="s">
        <v>25</v>
      </c>
      <c r="D40" s="1">
        <v>1</v>
      </c>
      <c r="E40" s="1">
        <v>339.28</v>
      </c>
      <c r="F40" s="1"/>
      <c r="G40" s="1">
        <v>390.17</v>
      </c>
      <c r="H40" s="6" t="s">
        <v>26</v>
      </c>
      <c r="I40" s="1" t="s">
        <v>34</v>
      </c>
      <c r="J40" s="1"/>
      <c r="L40">
        <v>4346.71</v>
      </c>
    </row>
    <row r="41" spans="2:14" x14ac:dyDescent="0.3">
      <c r="B41" s="1"/>
    </row>
    <row r="42" spans="2:14" x14ac:dyDescent="0.3">
      <c r="B42" s="1" t="s">
        <v>13</v>
      </c>
      <c r="C42" s="13">
        <f>G39+G38+G37+G40</f>
        <v>1114.81</v>
      </c>
      <c r="D42" s="14"/>
      <c r="E42" s="14"/>
      <c r="F42" s="14"/>
      <c r="G42" s="14"/>
      <c r="H42" s="14"/>
      <c r="I42" s="14"/>
      <c r="J42" s="15"/>
    </row>
    <row r="43" spans="2:14" x14ac:dyDescent="0.3">
      <c r="C43" s="9"/>
      <c r="D43" s="9"/>
      <c r="E43" s="9"/>
      <c r="F43" s="9"/>
      <c r="G43" s="9"/>
      <c r="H43" s="9"/>
      <c r="I43" s="9"/>
      <c r="J43" s="9"/>
    </row>
    <row r="44" spans="2:14" ht="100.8" x14ac:dyDescent="0.3">
      <c r="C44" s="1" t="s">
        <v>23</v>
      </c>
      <c r="D44" s="1">
        <v>1</v>
      </c>
      <c r="E44" s="1">
        <v>690</v>
      </c>
      <c r="F44" s="1">
        <v>217.68</v>
      </c>
      <c r="G44" s="1">
        <f>(F44+E44)*1</f>
        <v>907.68000000000006</v>
      </c>
      <c r="H44" s="18" t="s">
        <v>24</v>
      </c>
      <c r="I44" s="1" t="s">
        <v>35</v>
      </c>
      <c r="J44" s="8" t="s">
        <v>36</v>
      </c>
    </row>
    <row r="45" spans="2:14" x14ac:dyDescent="0.3">
      <c r="C45" s="9"/>
      <c r="D45" s="9"/>
      <c r="E45" s="9"/>
      <c r="F45" s="9"/>
      <c r="G45" s="9"/>
      <c r="H45" s="9"/>
      <c r="I45" s="9"/>
      <c r="J45" s="9"/>
    </row>
    <row r="46" spans="2:14" x14ac:dyDescent="0.3">
      <c r="C46" s="9"/>
      <c r="D46" s="9"/>
      <c r="E46" s="9"/>
      <c r="F46" s="9"/>
      <c r="G46" s="9"/>
      <c r="H46" s="9"/>
      <c r="I46" s="9"/>
      <c r="J46" s="9"/>
    </row>
    <row r="47" spans="2:14" x14ac:dyDescent="0.3">
      <c r="C47" s="9"/>
      <c r="D47" s="9"/>
      <c r="E47" s="9"/>
      <c r="F47" s="9"/>
      <c r="G47" s="9"/>
      <c r="H47" s="9"/>
      <c r="I47" s="9"/>
      <c r="J47" s="9"/>
    </row>
    <row r="48" spans="2:14" x14ac:dyDescent="0.3">
      <c r="C48" s="9"/>
      <c r="D48" s="9"/>
      <c r="E48" s="9"/>
      <c r="F48" s="9"/>
      <c r="G48" s="9"/>
      <c r="H48" s="9"/>
      <c r="I48" s="9"/>
      <c r="J48" s="9"/>
    </row>
    <row r="49" spans="2:10" x14ac:dyDescent="0.3">
      <c r="C49" s="9"/>
      <c r="D49" s="9"/>
      <c r="E49" s="9"/>
      <c r="F49" s="9"/>
      <c r="G49" s="9"/>
      <c r="H49" s="9"/>
      <c r="I49" s="9"/>
      <c r="J49" s="9"/>
    </row>
    <row r="50" spans="2:10" x14ac:dyDescent="0.3">
      <c r="C50" s="9"/>
      <c r="D50" s="9"/>
      <c r="E50" s="9"/>
      <c r="F50" s="9"/>
      <c r="G50" s="9"/>
      <c r="H50" s="9"/>
      <c r="I50" s="9"/>
      <c r="J50" s="9"/>
    </row>
    <row r="51" spans="2:10" x14ac:dyDescent="0.3">
      <c r="C51" s="9"/>
      <c r="D51" s="9"/>
      <c r="E51" s="9"/>
      <c r="F51" s="9"/>
      <c r="G51" s="9"/>
      <c r="H51" s="9"/>
      <c r="I51" s="9"/>
      <c r="J51" s="9"/>
    </row>
    <row r="53" spans="2:10" x14ac:dyDescent="0.3">
      <c r="B53" s="10" t="s">
        <v>2</v>
      </c>
      <c r="C53" s="11"/>
      <c r="D53" s="11"/>
      <c r="E53" s="11"/>
      <c r="F53" s="11"/>
      <c r="G53" s="11"/>
      <c r="H53" s="11"/>
      <c r="I53" s="11"/>
      <c r="J53" s="12"/>
    </row>
    <row r="54" spans="2:10" x14ac:dyDescent="0.3">
      <c r="B54" s="1"/>
      <c r="C54" s="3" t="s">
        <v>3</v>
      </c>
      <c r="D54" s="3" t="s">
        <v>4</v>
      </c>
      <c r="E54" s="3" t="s">
        <v>16</v>
      </c>
      <c r="F54" s="3" t="s">
        <v>30</v>
      </c>
      <c r="G54" s="3" t="s">
        <v>17</v>
      </c>
      <c r="H54" s="3" t="s">
        <v>15</v>
      </c>
      <c r="I54" s="3" t="s">
        <v>5</v>
      </c>
      <c r="J54" s="3" t="s">
        <v>7</v>
      </c>
    </row>
    <row r="55" spans="2:10" x14ac:dyDescent="0.3">
      <c r="B55" s="1"/>
      <c r="C55" s="1"/>
      <c r="D55" s="1"/>
      <c r="E55" s="1"/>
      <c r="F55" s="1"/>
      <c r="G55" s="1"/>
      <c r="H55" s="1"/>
      <c r="I55" s="1"/>
      <c r="J55" s="1"/>
    </row>
    <row r="56" spans="2:10" x14ac:dyDescent="0.3">
      <c r="B56" s="1"/>
      <c r="C56" s="1"/>
      <c r="D56" s="1"/>
      <c r="E56" s="1"/>
      <c r="F56" s="1"/>
      <c r="G56" s="1"/>
      <c r="H56" s="1"/>
      <c r="I56" s="1"/>
      <c r="J56" s="1"/>
    </row>
    <row r="57" spans="2:10" x14ac:dyDescent="0.3">
      <c r="B57" s="1"/>
      <c r="C57" s="1"/>
      <c r="D57" s="1"/>
      <c r="E57" s="1"/>
      <c r="F57" s="1"/>
      <c r="G57" s="1"/>
      <c r="H57" s="1"/>
      <c r="I57" s="1"/>
      <c r="J57" s="1"/>
    </row>
    <row r="58" spans="2:10" x14ac:dyDescent="0.3">
      <c r="B58" s="1"/>
      <c r="C58" s="1"/>
      <c r="D58" s="1"/>
      <c r="E58" s="1"/>
      <c r="F58" s="1"/>
      <c r="G58" s="1"/>
      <c r="H58" s="1"/>
      <c r="I58" s="1"/>
      <c r="J58" s="1"/>
    </row>
    <row r="59" spans="2:10" x14ac:dyDescent="0.3">
      <c r="B59" s="1"/>
      <c r="C59" s="1"/>
      <c r="D59" s="1"/>
      <c r="E59" s="1"/>
      <c r="F59" s="1"/>
      <c r="G59" s="1"/>
      <c r="H59" s="1"/>
      <c r="I59" s="1"/>
      <c r="J59" s="1"/>
    </row>
    <row r="60" spans="2:10" x14ac:dyDescent="0.3">
      <c r="B60" s="1"/>
      <c r="C60" s="1"/>
      <c r="D60" s="1"/>
      <c r="E60" s="1"/>
      <c r="F60" s="1"/>
      <c r="G60" s="1"/>
      <c r="H60" s="1"/>
      <c r="I60" s="1"/>
      <c r="J60" s="1"/>
    </row>
    <row r="61" spans="2:10" x14ac:dyDescent="0.3">
      <c r="B61" s="1"/>
      <c r="C61" s="1"/>
      <c r="D61" s="1"/>
      <c r="E61" s="1"/>
      <c r="F61" s="1"/>
      <c r="G61" s="1"/>
      <c r="H61" s="1"/>
      <c r="I61" s="1"/>
      <c r="J61" s="1"/>
    </row>
    <row r="62" spans="2:10" x14ac:dyDescent="0.3">
      <c r="B62" s="1" t="s">
        <v>13</v>
      </c>
      <c r="C62" s="13">
        <f>SUM(G55:G61)</f>
        <v>0</v>
      </c>
      <c r="D62" s="14"/>
      <c r="E62" s="14"/>
      <c r="F62" s="14"/>
      <c r="G62" s="14"/>
      <c r="H62" s="14"/>
      <c r="I62" s="14"/>
      <c r="J62" s="15"/>
    </row>
  </sheetData>
  <mergeCells count="12">
    <mergeCell ref="B35:J35"/>
    <mergeCell ref="C42:J42"/>
    <mergeCell ref="B53:J53"/>
    <mergeCell ref="C62:J62"/>
    <mergeCell ref="B2:J2"/>
    <mergeCell ref="C11:J11"/>
    <mergeCell ref="B13:J13"/>
    <mergeCell ref="C22:J22"/>
    <mergeCell ref="B24:J24"/>
    <mergeCell ref="C33:J33"/>
    <mergeCell ref="F38:F39"/>
    <mergeCell ref="J38:J39"/>
  </mergeCells>
  <hyperlinks>
    <hyperlink ref="H38" r:id="rId1" xr:uid="{5EC6F859-61F8-49CB-8FA7-17825CDAC170}"/>
    <hyperlink ref="H39" r:id="rId2" xr:uid="{2AD2AD2E-7FB9-43D5-BFE3-DCAF046FF44D}"/>
    <hyperlink ref="H40" r:id="rId3" xr:uid="{897A027F-6C3B-47A7-A9C0-CFF545F433AB}"/>
    <hyperlink ref="H44" r:id="rId4" display="https://www.eastelite.co.za/product/online-shop-parts/drive-motors-replacment-wheels-and-motors/brake-assy-ept15h/?utm_source=Google%20Shopping&amp;utm_campaign=Main%20Feed&amp;utm_medium=cpc&amp;utm_term=adtribes&amp;srsltid=AU7gw4UjYZUIOVW2CanUycxWMdMDX_0_TgSJzhdOcKx14pVvM6XbNV-5XNc" xr:uid="{AFAB77C6-498C-40FC-BAEC-BED2B6B4B0B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bf8a62-d0f6-40f0-8c5a-32259f9318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F264CAEDA5E47B5D4511E9DBB727D" ma:contentTypeVersion="10" ma:contentTypeDescription="Create a new document." ma:contentTypeScope="" ma:versionID="9e7b3af35941410df7756450e2465369">
  <xsd:schema xmlns:xsd="http://www.w3.org/2001/XMLSchema" xmlns:xs="http://www.w3.org/2001/XMLSchema" xmlns:p="http://schemas.microsoft.com/office/2006/metadata/properties" xmlns:ns3="d9bf8a62-d0f6-40f0-8c5a-32259f931817" targetNamespace="http://schemas.microsoft.com/office/2006/metadata/properties" ma:root="true" ma:fieldsID="f04283ebcb05eba5e57c929beba70e5f" ns3:_="">
    <xsd:import namespace="d9bf8a62-d0f6-40f0-8c5a-32259f9318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f8a62-d0f6-40f0-8c5a-32259f931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45611D-F5CF-4DF8-A23F-65AD065946BE}">
  <ds:schemaRefs>
    <ds:schemaRef ds:uri="d9bf8a62-d0f6-40f0-8c5a-32259f931817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0D1D427-C14F-4FEE-8A90-E6E7E081F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bf8a62-d0f6-40f0-8c5a-32259f931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C19F36-02AF-4E90-BC5B-2CEACDB57BA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Fourie</dc:creator>
  <cp:lastModifiedBy>J Fourie</cp:lastModifiedBy>
  <dcterms:created xsi:type="dcterms:W3CDTF">2026-09-23T13:59:24Z</dcterms:created>
  <dcterms:modified xsi:type="dcterms:W3CDTF">2026-09-29T09:50:47Z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0x0101004B3F264CAEDA5E47B5D4511E9DBB727D</vt:lpwstr>
  </property>
</Properties>
</file>