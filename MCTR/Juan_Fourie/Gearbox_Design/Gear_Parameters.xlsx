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ordWes Universiteit\Mechatronics Engineering\Jaar 3\Semester 2\MCTR327\Eng_DesignProject_GantryCrane_Group-18\MCTR\Juan_Fourie\"/>
    </mc:Choice>
  </mc:AlternateContent>
  <xr:revisionPtr revIDLastSave="0" documentId="13_ncr:1_{3303E0B4-4668-49E2-A1D1-A1D409D98174}" xr6:coauthVersionLast="47" xr6:coauthVersionMax="47" xr10:uidLastSave="{00000000-0000-0000-0000-000000000000}"/>
  <bookViews>
    <workbookView xWindow="-108" yWindow="-108" windowWidth="23256" windowHeight="12456" xr2:uid="{7AB26739-4F2D-44F1-B28B-03C9B1CCB813}"/>
  </bookViews>
  <sheets>
    <sheet name="Sheet1" sheetId="1" r:id="rId1"/>
  </sheets>
  <definedNames>
    <definedName name="Addendum_Circle">Sheet1!$B$6</definedName>
    <definedName name="Base_Circle">Sheet1!$B$9</definedName>
    <definedName name="Clearance_Circle">Sheet1!$B$8</definedName>
    <definedName name="Module">Sheet1!$B$2</definedName>
    <definedName name="Number_of_Teeth">Sheet1!$B$3</definedName>
    <definedName name="Pitch_Circle">Sheet1!$B$5</definedName>
    <definedName name="Pressure_Angle">Sheet1!$B$4</definedName>
    <definedName name="Root_Circle">Sheet1!$B$7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8" i="1" s="1"/>
  <c r="B6" i="1" l="1"/>
  <c r="B9" i="1"/>
  <c r="B7" i="1"/>
</calcChain>
</file>

<file path=xl/sharedStrings.xml><?xml version="1.0" encoding="utf-8"?>
<sst xmlns="http://schemas.openxmlformats.org/spreadsheetml/2006/main" count="10" uniqueCount="10">
  <si>
    <t>Parameter Name</t>
  </si>
  <si>
    <t>Value</t>
  </si>
  <si>
    <t>Module</t>
  </si>
  <si>
    <t>Number_of_Teeth</t>
  </si>
  <si>
    <t>Pressure_Angle</t>
  </si>
  <si>
    <t>Pitch_Circle</t>
  </si>
  <si>
    <t>Addendum_Circle</t>
  </si>
  <si>
    <t>Root_Circle</t>
  </si>
  <si>
    <t>Clearance_Circle</t>
  </si>
  <si>
    <t>Base_Circle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</si>
</sst>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C0A8-211C-4FE9-ABDD-763C0B7EA453}">
  <dimension ref="A1:B9"/>
  <sheetViews>
    <sheetView tabSelected="1" workbookViewId="0">
      <selection activeCell="A2" sqref="A2:A9"/>
    </sheetView>
  </sheetViews>
  <sheetFormatPr defaultRowHeight="14.4" x14ac:dyDescent="0.3"/>
  <cols>
    <col min="1" max="1" width="15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30</v>
      </c>
    </row>
    <row r="4" spans="1:2" x14ac:dyDescent="0.3">
      <c r="A4" t="s">
        <v>4</v>
      </c>
      <c r="B4">
        <v>20</v>
      </c>
    </row>
    <row r="5" spans="1:2" x14ac:dyDescent="0.3">
      <c r="A5" t="s">
        <v>5</v>
      </c>
      <c r="B5">
        <f>Module*Number_of_Teeth</f>
        <v>60</v>
      </c>
    </row>
    <row r="6" spans="1:2" x14ac:dyDescent="0.3">
      <c r="A6" t="s">
        <v>6</v>
      </c>
      <c r="B6">
        <f>Pitch_Circle+2*Module</f>
        <v>64</v>
      </c>
    </row>
    <row r="7" spans="1:2" x14ac:dyDescent="0.3">
      <c r="A7" t="s">
        <v>7</v>
      </c>
      <c r="B7">
        <f>Pitch_Circle-2*1.25*Module</f>
        <v>55</v>
      </c>
    </row>
    <row r="8" spans="1:2" x14ac:dyDescent="0.3">
      <c r="A8" t="s">
        <v>8</v>
      </c>
      <c r="B8">
        <f>Pitch_Circle-Module*2</f>
        <v>56</v>
      </c>
    </row>
    <row r="9" spans="1:2" x14ac:dyDescent="0.3">
      <c r="A9" t="s">
        <v>9</v>
      </c>
      <c r="B9">
        <f>Pitch_Circle*COS(Pressure_Angle)</f>
        <v>24.484923708803517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Addendum_Circle</vt:lpstr>
      <vt:lpstr>Base_Circle</vt:lpstr>
      <vt:lpstr>Clearance_Circle</vt:lpstr>
      <vt:lpstr>Module</vt:lpstr>
      <vt:lpstr>Number_of_Teeth</vt:lpstr>
      <vt:lpstr>Pitch_Circle</vt:lpstr>
      <vt:lpstr>Pressure_Angle</vt:lpstr>
      <vt:lpstr>Root_Circle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Fourie</dc:creator>
  <cp:lastModifiedBy>Juan Fourie</cp:lastModifiedBy>
  <dcterms:created xsi:type="dcterms:W3CDTF">2026-09-05T17:07:16Z</dcterms:created>
  <dcterms:modified xsi:type="dcterms:W3CDTF">2026-09-05T19:26:27Z</dcterms:modified>
</cp:coreProperties>
</file>